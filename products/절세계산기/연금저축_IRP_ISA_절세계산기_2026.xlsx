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안내" sheetId="1" state="visible" r:id="rId1"/>
    <sheet name="가정" sheetId="2" state="visible" r:id="rId2"/>
    <sheet name="입력" sheetId="3" state="visible" r:id="rId3"/>
    <sheet name="결과" sheetId="4" state="visible" r:id="rId4"/>
    <sheet name="시나리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;[Red]-#,##0&quot;원&quot;;-"/>
    <numFmt numFmtId="165" formatCode="0.0%"/>
  </numFmts>
  <fonts count="9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666666"/>
      <sz val="10"/>
    </font>
    <font>
      <name val="맑은 고딕"/>
      <b val="1"/>
      <sz val="11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color rgb="000000FF"/>
      <sz val="11"/>
    </font>
    <font>
      <name val="맑은 고딕"/>
      <sz val="11"/>
    </font>
    <font>
      <name val="맑은 고딕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0E1726"/>
      </patternFill>
    </fill>
    <fill>
      <patternFill patternType="solid">
        <fgColor rgb="00FFFF0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165" fontId="6" fillId="0" borderId="1" pivotButton="0" quotePrefix="0" xfId="0"/>
    <xf numFmtId="0" fontId="2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49" fontId="6" fillId="3" borderId="1" pivotButton="0" quotePrefix="0" xfId="0"/>
    <xf numFmtId="164" fontId="6" fillId="3" borderId="1" pivotButton="0" quotePrefix="0" xfId="0"/>
    <xf numFmtId="165" fontId="7" fillId="0" borderId="1" pivotButton="0" quotePrefix="0" xfId="0"/>
    <xf numFmtId="164" fontId="7" fillId="0" borderId="1" pivotButton="0" quotePrefix="0" xfId="0"/>
    <xf numFmtId="0" fontId="3" fillId="0" borderId="0" pivotButton="0" quotePrefix="0" xfId="0"/>
    <xf numFmtId="164" fontId="3" fillId="4" borderId="1" pivotButton="0" quotePrefix="0" xfId="0"/>
    <xf numFmtId="49" fontId="7" fillId="0" borderId="1" pivotButton="0" quotePrefix="0" xfId="0"/>
    <xf numFmtId="0" fontId="5" fillId="2" borderId="1" applyAlignment="1" pivotButton="0" quotePrefix="0" xfId="0">
      <alignment horizontal="center" wrapText="1"/>
    </xf>
    <xf numFmtId="164" fontId="4" fillId="0" borderId="1" pivotButton="0" quotePrefix="0" xfId="0"/>
    <xf numFmtId="164" fontId="8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연금저축 · IRP · ISA · 해외주식 절세계산기 2026</t>
        </is>
      </c>
    </row>
    <row r="3">
      <c r="B3" s="2" t="inlineStr">
        <is>
          <t>장릉곰 공부장 제작 · 기준일 2026-09-09 · 세법이 바뀌면 「가정」시트의 파란 숫자만 고치면 전체가 다시 계산됩니다.</t>
        </is>
      </c>
    </row>
    <row r="4">
      <c r="B4" s="3" t="inlineStr"/>
    </row>
    <row r="5">
      <c r="B5" s="4" t="inlineStr">
        <is>
          <t>사용법</t>
        </is>
      </c>
    </row>
    <row r="6">
      <c r="B6" s="5" t="inlineStr">
        <is>
          <t>1. 「입력」시트의 노란 칸(파란 글씨)에 본인 숫자를 넣습니다. 나머지 칸은 손대지 않습니다.</t>
        </is>
      </c>
    </row>
    <row r="7">
      <c r="B7" s="5" t="inlineStr">
        <is>
          <t>2. 「결과」시트에서 올해 돌려받는 세금·아끼는 세금의 합계를 봅니다.</t>
        </is>
      </c>
    </row>
    <row r="8">
      <c r="B8" s="5" t="inlineStr">
        <is>
          <t>3. 「시나리오」시트에서 연금저축 납입액을 얼마로 할 때 환급이 어떻게 변하는지 비교합니다.</t>
        </is>
      </c>
    </row>
    <row r="9">
      <c r="B9" s="5" t="inlineStr">
        <is>
          <t>4. 「가정」시트에 모든 세법 수치와 출처·확인일이 있습니다. 판단을 좌우하는 수치는 국세청·거래 금융기관 안내로 재확인하세요.</t>
        </is>
      </c>
    </row>
    <row r="10">
      <c r="B10" s="3" t="inlineStr"/>
    </row>
    <row r="11">
      <c r="B11" s="4" t="inlineStr">
        <is>
          <t>색 규칙</t>
        </is>
      </c>
    </row>
    <row r="12">
      <c r="B12" s="5" t="inlineStr">
        <is>
          <t>파란 글씨 + 노란 칸 = 내가 입력하는 값 · 검은 글씨 = 수식(건드리지 않음) · 초록 글씨 = 다른 시트에서 가져온 값</t>
        </is>
      </c>
    </row>
    <row r="13">
      <c r="B13" s="3" t="inlineStr"/>
    </row>
    <row r="14">
      <c r="B14" s="4" t="inlineStr">
        <is>
          <t>이 계산기가 하는 것 / 하지 않는 것</t>
        </is>
      </c>
    </row>
    <row r="15">
      <c r="B15" s="5" t="inlineStr">
        <is>
          <t>하는 것: 연금저축·IRP 세액공제 환급액, ISA 비과세·분리과세 절세액, ISA 만기 연금전환 추가공제, 해외주식 양도세, 미국 배당 원천징수 계산.</t>
        </is>
      </c>
    </row>
    <row r="16">
      <c r="B16" s="5" t="inlineStr">
        <is>
          <t>하지 않는 것: 특정 상품 추천, 수익률 예측, 종합소득세 신고 대행. 결과는 참고용이며 최종 확인은 국세청 홈택스·세무사에게.</t>
        </is>
      </c>
    </row>
    <row r="17">
      <c r="B17" s="3" t="inlineStr"/>
    </row>
    <row r="18">
      <c r="B18" s="2" t="inlineStr">
        <is>
          <t>면책: 이 파일은 정보 제공 목적의 계산 도구이며 투자자문이 아닙니다. 계산 결과로 인한 손실에 대해 제작자는 책임지지 않습니다. 재배포·재판매 금지.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8" customWidth="1" min="3" max="3"/>
    <col width="14" customWidth="1" min="4" max="4"/>
    <col width="70" customWidth="1" min="5" max="5"/>
  </cols>
  <sheetData>
    <row r="1">
      <c r="A1" s="6" t="inlineStr">
        <is>
          <t>세법 가정 (파란 숫자만 수정)</t>
        </is>
      </c>
    </row>
    <row r="3">
      <c r="A3" s="7" t="inlineStr">
        <is>
          <t>항목</t>
        </is>
      </c>
      <c r="B3" s="7" t="inlineStr">
        <is>
          <t>값</t>
        </is>
      </c>
      <c r="C3" s="7" t="inlineStr">
        <is>
          <t>등급</t>
        </is>
      </c>
      <c r="D3" s="7" t="inlineStr">
        <is>
          <t>확인일</t>
        </is>
      </c>
      <c r="E3" s="7" t="inlineStr">
        <is>
          <t>출처 · 메모</t>
        </is>
      </c>
    </row>
    <row r="4">
      <c r="A4" s="8" t="inlineStr">
        <is>
          <t>연금저축 단독 세액공제 한도</t>
        </is>
      </c>
      <c r="B4" s="9" t="n">
        <v>6000000</v>
      </c>
      <c r="C4" s="8" t="inlineStr">
        <is>
          <t>A</t>
        </is>
      </c>
      <c r="D4" s="8" t="inlineStr">
        <is>
          <t>2026-09-09</t>
        </is>
      </c>
      <c r="E4" s="10" t="inlineStr">
        <is>
          <t>소득세법 제59조의3</t>
        </is>
      </c>
    </row>
    <row r="5">
      <c r="A5" s="8" t="inlineStr">
        <is>
          <t>연금저축+IRP 합산 세액공제 한도</t>
        </is>
      </c>
      <c r="B5" s="9" t="n">
        <v>9000000</v>
      </c>
      <c r="C5" s="8" t="inlineStr">
        <is>
          <t>A</t>
        </is>
      </c>
      <c r="D5" s="8" t="inlineStr">
        <is>
          <t>2026-09-09</t>
        </is>
      </c>
      <c r="E5" s="10" t="inlineStr">
        <is>
          <t>소득세법 제59조의3</t>
        </is>
      </c>
    </row>
    <row r="6">
      <c r="A6" s="8" t="inlineStr">
        <is>
          <t>공제율 (지방세 포함) — 총급여 5,500만 이하 / 종합소득 4,500만 이하</t>
        </is>
      </c>
      <c r="B6" s="11" t="n">
        <v>0.165</v>
      </c>
      <c r="C6" s="8" t="inlineStr">
        <is>
          <t>B</t>
        </is>
      </c>
      <c r="D6" s="8" t="inlineStr">
        <is>
          <t>2026-09-09</t>
        </is>
      </c>
      <c r="E6" s="10" t="inlineStr">
        <is>
          <t>국세 15% + 지방소득세 1.5%. 금융기관 안내 다수 일치</t>
        </is>
      </c>
    </row>
    <row r="7">
      <c r="A7" s="8" t="inlineStr">
        <is>
          <t>공제율 (지방세 포함) — 그 외</t>
        </is>
      </c>
      <c r="B7" s="11" t="n">
        <v>0.132</v>
      </c>
      <c r="C7" s="8" t="inlineStr">
        <is>
          <t>B</t>
        </is>
      </c>
      <c r="D7" s="8" t="inlineStr">
        <is>
          <t>2026-09-09</t>
        </is>
      </c>
      <c r="E7" s="10" t="inlineStr">
        <is>
          <t>국세 12% + 지방소득세 1.2%</t>
        </is>
      </c>
    </row>
    <row r="8">
      <c r="A8" s="8" t="inlineStr">
        <is>
          <t>공제율 판정 기준 — 총급여(근로소득만)</t>
        </is>
      </c>
      <c r="B8" s="9" t="n">
        <v>55000000</v>
      </c>
      <c r="C8" s="8" t="inlineStr">
        <is>
          <t>A</t>
        </is>
      </c>
      <c r="D8" s="8" t="inlineStr">
        <is>
          <t>2026-09-09</t>
        </is>
      </c>
      <c r="E8" s="10" t="inlineStr">
        <is>
          <t>소득세법 제59조의3</t>
        </is>
      </c>
    </row>
    <row r="9">
      <c r="A9" s="8" t="inlineStr">
        <is>
          <t>공제율 판정 기준 — 종합소득금액</t>
        </is>
      </c>
      <c r="B9" s="9" t="n">
        <v>45000000</v>
      </c>
      <c r="C9" s="8" t="inlineStr">
        <is>
          <t>A</t>
        </is>
      </c>
      <c r="D9" s="8" t="inlineStr">
        <is>
          <t>2026-09-09</t>
        </is>
      </c>
      <c r="E9" s="10" t="inlineStr">
        <is>
          <t>소득세법 제59조의3</t>
        </is>
      </c>
    </row>
    <row r="10">
      <c r="A10" s="8" t="inlineStr">
        <is>
          <t>연금계좌 연간 납입한도 (세액공제와 별개)</t>
        </is>
      </c>
      <c r="B10" s="9" t="n">
        <v>18000000</v>
      </c>
      <c r="C10" s="8" t="inlineStr">
        <is>
          <t>C</t>
        </is>
      </c>
      <c r="D10" s="8" t="inlineStr">
        <is>
          <t>2026-09-09</t>
        </is>
      </c>
      <c r="E10" s="10" t="inlineStr">
        <is>
          <t>조세특례제한법상 연금계좌 합산 납입한도로 알려짐. 원문 미확인 → 경고 표시에만 사용</t>
        </is>
      </c>
    </row>
    <row r="11">
      <c r="A11" s="8" t="inlineStr">
        <is>
          <t>연금외수령(중도해지) 기타소득세</t>
        </is>
      </c>
      <c r="B11" s="11" t="n">
        <v>0.165</v>
      </c>
      <c r="C11" s="8" t="inlineStr">
        <is>
          <t>B</t>
        </is>
      </c>
      <c r="D11" s="8" t="inlineStr">
        <is>
          <t>2026-09-09</t>
        </is>
      </c>
      <c r="E11" s="10" t="inlineStr">
        <is>
          <t>금융기관 안내 다수 일치</t>
        </is>
      </c>
    </row>
    <row r="12">
      <c r="A12" s="8" t="inlineStr">
        <is>
          <t>ISA 비과세 한도 — 일반형</t>
        </is>
      </c>
      <c r="B12" s="9" t="n">
        <v>2000000</v>
      </c>
      <c r="C12" s="8" t="inlineStr">
        <is>
          <t>A</t>
        </is>
      </c>
      <c r="D12" s="8" t="inlineStr">
        <is>
          <t>2026-09-09</t>
        </is>
      </c>
      <c r="E12" s="10" t="inlineStr">
        <is>
          <t>조세특례제한법 제91조의18 · 실제 계좌 화면 확인</t>
        </is>
      </c>
    </row>
    <row r="13">
      <c r="A13" s="8" t="inlineStr">
        <is>
          <t>ISA 비과세 한도 — 서민형</t>
        </is>
      </c>
      <c r="B13" s="9" t="n">
        <v>4000000</v>
      </c>
      <c r="C13" s="8" t="inlineStr">
        <is>
          <t>A</t>
        </is>
      </c>
      <c r="D13" s="8" t="inlineStr">
        <is>
          <t>2026-09-09</t>
        </is>
      </c>
      <c r="E13" s="10" t="inlineStr">
        <is>
          <t>직전 과세기간 총급여 5,000만 이하. 동 조문</t>
        </is>
      </c>
    </row>
    <row r="14">
      <c r="A14" s="8" t="inlineStr">
        <is>
          <t>ISA 서민형 요건 — 총급여</t>
        </is>
      </c>
      <c r="B14" s="9" t="n">
        <v>50000000</v>
      </c>
      <c r="C14" s="8" t="inlineStr">
        <is>
          <t>A</t>
        </is>
      </c>
      <c r="D14" s="8" t="inlineStr">
        <is>
          <t>2026-09-09</t>
        </is>
      </c>
      <c r="E14" s="10" t="inlineStr">
        <is>
          <t>동 조문</t>
        </is>
      </c>
    </row>
    <row r="15">
      <c r="A15" s="8" t="inlineStr">
        <is>
          <t>ISA 한도 초과분 분리과세율</t>
        </is>
      </c>
      <c r="B15" s="11" t="n">
        <v>0.099</v>
      </c>
      <c r="C15" s="8" t="inlineStr">
        <is>
          <t>B</t>
        </is>
      </c>
      <c r="D15" s="8" t="inlineStr">
        <is>
          <t>2026-09-09</t>
        </is>
      </c>
      <c r="E15" s="10" t="inlineStr">
        <is>
          <t>9% + 지방소득세 0.9%</t>
        </is>
      </c>
    </row>
    <row r="16">
      <c r="A16" s="8" t="inlineStr">
        <is>
          <t>ISA 연간 납입한도</t>
        </is>
      </c>
      <c r="B16" s="9" t="n">
        <v>20000000</v>
      </c>
      <c r="C16" s="8" t="inlineStr">
        <is>
          <t>A</t>
        </is>
      </c>
      <c r="D16" s="8" t="inlineStr">
        <is>
          <t>2026-09-09</t>
        </is>
      </c>
      <c r="E16" s="10" t="inlineStr">
        <is>
          <t>실제 계좌 화면 확인</t>
        </is>
      </c>
    </row>
    <row r="17">
      <c r="A17" s="8" t="inlineStr">
        <is>
          <t>ISA 총 납입한도</t>
        </is>
      </c>
      <c r="B17" s="9" t="n">
        <v>100000000</v>
      </c>
      <c r="C17" s="8" t="inlineStr">
        <is>
          <t>B</t>
        </is>
      </c>
      <c r="D17" s="8" t="inlineStr">
        <is>
          <t>2026-09-09</t>
        </is>
      </c>
      <c r="E17" s="10" t="inlineStr">
        <is>
          <t>금융기관 안내 다수 일치</t>
        </is>
      </c>
    </row>
    <row r="18">
      <c r="A18" s="8" t="inlineStr">
        <is>
          <t>ISA 만기 → 연금계좌 전환 추가공제율</t>
        </is>
      </c>
      <c r="B18" s="11" t="n">
        <v>0.1</v>
      </c>
      <c r="C18" s="8" t="inlineStr">
        <is>
          <t>B</t>
        </is>
      </c>
      <c r="D18" s="8" t="inlineStr">
        <is>
          <t>2026-09-09</t>
        </is>
      </c>
      <c r="E18" s="10" t="inlineStr">
        <is>
          <t>전환금액의 10%</t>
        </is>
      </c>
    </row>
    <row r="19">
      <c r="A19" s="8" t="inlineStr">
        <is>
          <t>ISA 만기 → 연금계좌 전환 추가공제 상한</t>
        </is>
      </c>
      <c r="B19" s="9" t="n">
        <v>3000000</v>
      </c>
      <c r="C19" s="8" t="inlineStr">
        <is>
          <t>B</t>
        </is>
      </c>
      <c r="D19" s="8" t="inlineStr">
        <is>
          <t>2026-09-09</t>
        </is>
      </c>
      <c r="E19" s="10" t="inlineStr">
        <is>
          <t>최대 300만원. 해지 후 60일 이내 전환</t>
        </is>
      </c>
    </row>
    <row r="20">
      <c r="A20" s="8" t="inlineStr">
        <is>
          <t>일반계좌 이자·배당소득세 (지방세 포함)</t>
        </is>
      </c>
      <c r="B20" s="11" t="n">
        <v>0.154</v>
      </c>
      <c r="C20" s="8" t="inlineStr">
        <is>
          <t>A</t>
        </is>
      </c>
      <c r="D20" s="8" t="inlineStr">
        <is>
          <t>2026-09-09</t>
        </is>
      </c>
      <c r="E20" s="10" t="inlineStr">
        <is>
          <t>14% + 1.4%. ISA 절세액 비교 기준</t>
        </is>
      </c>
    </row>
    <row r="21">
      <c r="A21" s="8" t="inlineStr">
        <is>
          <t>해외주식 양도소득세 (지방세 포함)</t>
        </is>
      </c>
      <c r="B21" s="11" t="n">
        <v>0.22</v>
      </c>
      <c r="C21" s="8" t="inlineStr">
        <is>
          <t>B</t>
        </is>
      </c>
      <c r="D21" s="8" t="inlineStr">
        <is>
          <t>2026-09-09</t>
        </is>
      </c>
      <c r="E21" s="10" t="inlineStr">
        <is>
          <t>20% + 2%</t>
        </is>
      </c>
    </row>
    <row r="22">
      <c r="A22" s="8" t="inlineStr">
        <is>
          <t>해외주식 양도소득 기본공제 (연)</t>
        </is>
      </c>
      <c r="B22" s="9" t="n">
        <v>2500000</v>
      </c>
      <c r="C22" s="8" t="inlineStr">
        <is>
          <t>B</t>
        </is>
      </c>
      <c r="D22" s="8" t="inlineStr">
        <is>
          <t>2026-09-09</t>
        </is>
      </c>
      <c r="E22" s="10" t="inlineStr">
        <is>
          <t>연간 손익통산 후 250만원</t>
        </is>
      </c>
    </row>
    <row r="23">
      <c r="A23" s="8" t="inlineStr">
        <is>
          <t>미국 배당 현지 원천징수율</t>
        </is>
      </c>
      <c r="B23" s="11" t="n">
        <v>0.15</v>
      </c>
      <c r="C23" s="8" t="inlineStr">
        <is>
          <t>B</t>
        </is>
      </c>
      <c r="D23" s="8" t="inlineStr">
        <is>
          <t>2026-09-09</t>
        </is>
      </c>
      <c r="E23" s="10" t="inlineStr">
        <is>
          <t>한미조세조약. 국내 추가 원천징수 없음</t>
        </is>
      </c>
    </row>
    <row r="24">
      <c r="A24" s="8" t="inlineStr">
        <is>
          <t>금융소득종합과세 기준</t>
        </is>
      </c>
      <c r="B24" s="9" t="n">
        <v>20000000</v>
      </c>
      <c r="C24" s="8" t="inlineStr">
        <is>
          <t>B</t>
        </is>
      </c>
      <c r="D24" s="8" t="inlineStr">
        <is>
          <t>2026-09-09</t>
        </is>
      </c>
      <c r="E24" s="10" t="inlineStr">
        <is>
          <t>연 2,000만원 초과 시 종합과세</t>
        </is>
      </c>
    </row>
    <row r="26">
      <c r="A26" s="12" t="inlineStr">
        <is>
          <t>등급: A = 법령 조문·국세청 안내·실제 계좌 화면으로 확인 / B = 금융기관·언론 2차 출처 다수 일치 / C = 원문 미확인(참고용)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6" t="inlineStr">
        <is>
          <t>입력 — 노란 칸만 채우세요</t>
        </is>
      </c>
    </row>
    <row r="2">
      <c r="A2" s="12" t="inlineStr">
        <is>
          <t>예시 값이 들어 있습니다. 본인 숫자로 바꾸세요.</t>
        </is>
      </c>
    </row>
    <row r="4">
      <c r="A4" s="13" t="inlineStr">
        <is>
          <t>① 소득</t>
        </is>
      </c>
      <c r="B4" s="14" t="n"/>
      <c r="C4" s="14" t="n"/>
    </row>
    <row r="5">
      <c r="A5" s="15" t="inlineStr">
        <is>
          <t>소득 구분</t>
        </is>
      </c>
      <c r="B5" s="16" t="inlineStr">
        <is>
          <t>근로소득만</t>
        </is>
      </c>
      <c r="C5" s="12" t="inlineStr">
        <is>
          <t>근로소득만 / 종합소득 있음 (드롭다운)</t>
        </is>
      </c>
    </row>
    <row r="6">
      <c r="A6" s="15" t="inlineStr">
        <is>
          <t>총급여 (근로소득만일 때) 또는 종합소득금액</t>
        </is>
      </c>
      <c r="B6" s="17" t="n">
        <v>70000000</v>
      </c>
      <c r="C6" s="12" t="inlineStr">
        <is>
          <t>원천징수영수증 「총급여」 또는 종합소득금액</t>
        </is>
      </c>
    </row>
    <row r="8">
      <c r="A8" s="13" t="inlineStr">
        <is>
          <t>② 연금계좌 납입 (올해)</t>
        </is>
      </c>
      <c r="B8" s="14" t="n"/>
      <c r="C8" s="14" t="n"/>
    </row>
    <row r="9">
      <c r="A9" s="15" t="inlineStr">
        <is>
          <t>연금저축 납입액</t>
        </is>
      </c>
      <c r="B9" s="17" t="n">
        <v>6000000</v>
      </c>
      <c r="C9" s="12" t="inlineStr">
        <is>
          <t>연 600만원까지 공제 대상</t>
        </is>
      </c>
    </row>
    <row r="10">
      <c r="A10" s="15" t="inlineStr">
        <is>
          <t>IRP 납입액 (개인 추가 납입분)</t>
        </is>
      </c>
      <c r="B10" s="17" t="n">
        <v>0</v>
      </c>
      <c r="C10" s="12" t="inlineStr">
        <is>
          <t>연금저축과 합산 900만원까지 공제 대상</t>
        </is>
      </c>
    </row>
    <row r="12">
      <c r="A12" s="13" t="inlineStr">
        <is>
          <t>③ ISA</t>
        </is>
      </c>
      <c r="B12" s="14" t="n"/>
      <c r="C12" s="14" t="n"/>
    </row>
    <row r="13">
      <c r="A13" s="15" t="inlineStr">
        <is>
          <t>ISA 유형</t>
        </is>
      </c>
      <c r="B13" s="16" t="inlineStr">
        <is>
          <t>일반형</t>
        </is>
      </c>
      <c r="C13" s="12" t="inlineStr">
        <is>
          <t>일반형 / 서민형 (드롭다운)</t>
        </is>
      </c>
    </row>
    <row r="14">
      <c r="A14" s="15" t="inlineStr">
        <is>
          <t>만기까지 예상 순이익 (이자·배당·매매차익 합산, 손실 차감 후)</t>
        </is>
      </c>
      <c r="B14" s="17" t="n">
        <v>3000000</v>
      </c>
      <c r="C14" s="12" t="inlineStr">
        <is>
          <t>3년 보유 기준으로 계좌 안에서 실현될 이익의 합</t>
        </is>
      </c>
    </row>
    <row r="15">
      <c r="A15" s="15" t="inlineStr">
        <is>
          <t>만기 후 연금계좌로 전환할 금액 (0이면 전환 안 함)</t>
        </is>
      </c>
      <c r="B15" s="17" t="n">
        <v>0</v>
      </c>
      <c r="C15" s="12" t="inlineStr">
        <is>
          <t>해지 후 60일 이내 연금저축·IRP로 이체하는 금액</t>
        </is>
      </c>
    </row>
    <row r="17">
      <c r="A17" s="13" t="inlineStr">
        <is>
          <t>④ 해외주식 일반계좌 (올해)</t>
        </is>
      </c>
      <c r="B17" s="14" t="n"/>
      <c r="C17" s="14" t="n"/>
    </row>
    <row r="18">
      <c r="A18" s="15" t="inlineStr">
        <is>
          <t>해외주식 실현 손익 합계 (매도분만, 손실은 음수)</t>
        </is>
      </c>
      <c r="B18" s="17" t="n">
        <v>0</v>
      </c>
      <c r="C18" s="12" t="inlineStr">
        <is>
          <t>연간 손익통산. 미실현 평가손익은 제외</t>
        </is>
      </c>
    </row>
    <row r="19">
      <c r="A19" s="15" t="inlineStr">
        <is>
          <t>미국 주식·ETF 배당 수령액 (세전, 원화 환산)</t>
        </is>
      </c>
      <c r="B19" s="17" t="n">
        <v>1240000</v>
      </c>
      <c r="C19" s="12" t="inlineStr">
        <is>
          <t>현지에서 15% 원천징수됨</t>
        </is>
      </c>
    </row>
  </sheetData>
  <dataValidations count="2">
    <dataValidation sqref="B5" showDropDown="0" showInputMessage="0" showErrorMessage="0" allowBlank="0" type="list">
      <formula1>"근로소득만,종합소득 있음"</formula1>
    </dataValidation>
    <dataValidation sqref="B13" showDropDown="0" showInputMessage="0" showErrorMessage="0" allowBlank="0" type="list">
      <formula1>"일반형,서민형"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64" customWidth="1" min="3" max="3"/>
  </cols>
  <sheetData>
    <row r="1">
      <c r="A1" s="6" t="inlineStr">
        <is>
          <t>결과 — 올해 돌려받거나 아끼는 세금</t>
        </is>
      </c>
    </row>
    <row r="3">
      <c r="A3" s="13" t="inlineStr">
        <is>
          <t>① 연금저축 · IRP 세액공제</t>
        </is>
      </c>
      <c r="B3" s="14" t="n"/>
      <c r="C3" s="14" t="n"/>
    </row>
    <row r="4">
      <c r="A4" s="15" t="inlineStr">
        <is>
          <t>적용 공제율</t>
        </is>
      </c>
      <c r="B4" s="18">
        <f>IF(OR(AND(입력!$B$5="근로소득만",입력!$B$6&lt;=가정!$B$8),AND(입력!$B$5="종합소득 있음",입력!$B$6&lt;=가정!$B$9)),가정!$B$6,가정!$B$7)</f>
        <v/>
      </c>
      <c r="C4" s="12" t="inlineStr">
        <is>
          <t>총급여 5,500만(종합소득 4,500만) 이하 16.5%, 초과 13.2%</t>
        </is>
      </c>
    </row>
    <row r="5">
      <c r="A5" s="15" t="inlineStr">
        <is>
          <t>연금저축 공제 대상액</t>
        </is>
      </c>
      <c r="B5" s="19">
        <f>MIN(입력!$B$9,가정!$B$4)</f>
        <v/>
      </c>
      <c r="C5" s="12" t="inlineStr">
        <is>
          <t>연 600만원 한도</t>
        </is>
      </c>
    </row>
    <row r="6">
      <c r="A6" s="15" t="inlineStr">
        <is>
          <t>IRP 공제 대상액</t>
        </is>
      </c>
      <c r="B6" s="19">
        <f>MAX(0,MIN(입력!$B$10,가정!$B$5-B5))</f>
        <v/>
      </c>
      <c r="C6" s="12" t="inlineStr">
        <is>
          <t>합산 900만원 한도에서 연금저축분을 뺀 나머지</t>
        </is>
      </c>
    </row>
    <row r="7">
      <c r="A7" s="15" t="inlineStr">
        <is>
          <t>공제 대상 합계</t>
        </is>
      </c>
      <c r="B7" s="19">
        <f>B5+B6</f>
        <v/>
      </c>
      <c r="C7" s="12" t="inlineStr"/>
    </row>
    <row r="8">
      <c r="A8" s="20" t="inlineStr">
        <is>
          <t>예상 세액공제 (환급액)</t>
        </is>
      </c>
      <c r="B8" s="21">
        <f>B7*B4</f>
        <v/>
      </c>
      <c r="C8" s="12" t="inlineStr">
        <is>
          <t>결정세액이 이보다 작으면 결정세액까지만 환급됨</t>
        </is>
      </c>
    </row>
    <row r="9">
      <c r="A9" s="15" t="inlineStr">
        <is>
          <t>납입액 대비 즉시 수익률</t>
        </is>
      </c>
      <c r="B9" s="18">
        <f>IF((입력!$B$9+입력!$B$10)=0,0,B8/(입력!$B$9+입력!$B$10))</f>
        <v/>
      </c>
      <c r="C9" s="12" t="inlineStr">
        <is>
          <t>넣은 돈 대비 돌려받는 비율</t>
        </is>
      </c>
    </row>
    <row r="10">
      <c r="A10" s="15" t="inlineStr">
        <is>
          <t>공제 한도까지 남은 납입 여력</t>
        </is>
      </c>
      <c r="B10" s="19">
        <f>가정!$B$5-B7</f>
        <v/>
      </c>
      <c r="C10" s="12" t="inlineStr">
        <is>
          <t>0이면 한도를 다 채운 것</t>
        </is>
      </c>
    </row>
    <row r="11">
      <c r="A11" s="15" t="inlineStr">
        <is>
          <t>납입한도 경고</t>
        </is>
      </c>
      <c r="B11" s="22">
        <f>IF((입력!$B$9+입력!$B$10)&gt;가정!$B$10,"⚠ 연금계좌 연간 납입한도 초과 가능 — 금융기관 확인","정상")</f>
        <v/>
      </c>
      <c r="C11" s="12" t="inlineStr">
        <is>
          <t>가정 등급 C — 참고용</t>
        </is>
      </c>
    </row>
    <row r="13">
      <c r="A13" s="13" t="inlineStr">
        <is>
          <t>② ISA 절세</t>
        </is>
      </c>
      <c r="B13" s="14" t="n"/>
      <c r="C13" s="14" t="n"/>
    </row>
    <row r="14">
      <c r="A14" s="15" t="inlineStr">
        <is>
          <t>적용 비과세 한도</t>
        </is>
      </c>
      <c r="B14" s="19">
        <f>IF(입력!$B$13="서민형",가정!$B$13,가정!$B$12)</f>
        <v/>
      </c>
      <c r="C14" s="12" t="inlineStr">
        <is>
          <t>일반형 200만 / 서민형 400만</t>
        </is>
      </c>
    </row>
    <row r="15">
      <c r="A15" s="15" t="inlineStr">
        <is>
          <t>비과세 적용 이익</t>
        </is>
      </c>
      <c r="B15" s="19">
        <f>MAX(0,MIN(입력!$B$14,B14))</f>
        <v/>
      </c>
      <c r="C15" s="12" t="inlineStr"/>
    </row>
    <row r="16">
      <c r="A16" s="15" t="inlineStr">
        <is>
          <t>한도 초과 이익 (9.9% 분리과세)</t>
        </is>
      </c>
      <c r="B16" s="19">
        <f>MAX(0,입력!$B$14-B14)</f>
        <v/>
      </c>
      <c r="C16" s="12" t="inlineStr"/>
    </row>
    <row r="17">
      <c r="A17" s="15" t="inlineStr">
        <is>
          <t>ISA 안에서 내는 세금</t>
        </is>
      </c>
      <c r="B17" s="19">
        <f>B16*가정!$B$15</f>
        <v/>
      </c>
      <c r="C17" s="12" t="inlineStr"/>
    </row>
    <row r="18">
      <c r="A18" s="15" t="inlineStr">
        <is>
          <t>같은 이익을 일반계좌에서 냈을 때 세금</t>
        </is>
      </c>
      <c r="B18" s="19">
        <f>MAX(0,입력!$B$14)*가정!$B$20</f>
        <v/>
      </c>
      <c r="C18" s="12" t="inlineStr">
        <is>
          <t>이자·배당·국내상장 해외ETF 매매차익 15.4% 기준. 국내 주식 매매차익(비과세)은 제외하고 입력</t>
        </is>
      </c>
    </row>
    <row r="19">
      <c r="A19" s="20" t="inlineStr">
        <is>
          <t>ISA 절세액</t>
        </is>
      </c>
      <c r="B19" s="21">
        <f>B18-B17</f>
        <v/>
      </c>
      <c r="C19" s="12" t="inlineStr"/>
    </row>
    <row r="20">
      <c r="A20" s="15" t="inlineStr">
        <is>
          <t>만기 연금전환 추가 세액공제 대상</t>
        </is>
      </c>
      <c r="B20" s="19">
        <f>MIN(입력!$B$15*가정!$B$18,가정!$B$19)</f>
        <v/>
      </c>
      <c r="C20" s="12" t="inlineStr">
        <is>
          <t>전환금액 10%, 최대 300만원</t>
        </is>
      </c>
    </row>
    <row r="21">
      <c r="A21" s="15" t="inlineStr">
        <is>
          <t>만기 연금전환 추가 환급액</t>
        </is>
      </c>
      <c r="B21" s="19">
        <f>B20*B4</f>
        <v/>
      </c>
      <c r="C21" s="12" t="inlineStr">
        <is>
          <t>그 해 연금계좌 공제한도가 900만→1,200만원으로 늘어남</t>
        </is>
      </c>
    </row>
    <row r="22">
      <c r="A22" s="15" t="inlineStr">
        <is>
          <t>서민형 해당 여부 점검</t>
        </is>
      </c>
      <c r="B22" s="22">
        <f>IF(AND(입력!$B$13="일반형",입력!$B$5="근로소득만",입력!$B$6&lt;=가정!$B$14),"총급여 5,000만 이하 → 서민형 전환 검토 (비과세 400만)","해당 없음")</f>
        <v/>
      </c>
      <c r="C22" s="12" t="inlineStr"/>
    </row>
    <row r="24">
      <c r="A24" s="13" t="inlineStr">
        <is>
          <t>③ 해외주식 일반계좌</t>
        </is>
      </c>
      <c r="B24" s="14" t="n"/>
      <c r="C24" s="14" t="n"/>
    </row>
    <row r="25">
      <c r="A25" s="15" t="inlineStr">
        <is>
          <t>양도소득 과세표준</t>
        </is>
      </c>
      <c r="B25" s="19">
        <f>MAX(0,입력!$B$18-가정!$B$22)</f>
        <v/>
      </c>
      <c r="C25" s="12" t="inlineStr">
        <is>
          <t>연간 손익통산 후 250만원 공제</t>
        </is>
      </c>
    </row>
    <row r="26">
      <c r="A26" s="20" t="inlineStr">
        <is>
          <t>예상 양도소득세</t>
        </is>
      </c>
      <c r="B26" s="21">
        <f>B25*가정!$B$21</f>
        <v/>
      </c>
      <c r="C26" s="12" t="inlineStr">
        <is>
          <t>다음 해 5월 신고·납부</t>
        </is>
      </c>
    </row>
    <row r="27">
      <c r="A27" s="15" t="inlineStr">
        <is>
          <t>기본공제 남은 한도 (연내 추가 실현 가능 이익)</t>
        </is>
      </c>
      <c r="B27" s="19">
        <f>MAX(0,가정!$B$22-MAX(0,입력!$B$18))</f>
        <v/>
      </c>
      <c r="C27" s="12" t="inlineStr">
        <is>
          <t>이만큼은 올해 실현해도 세금 0</t>
        </is>
      </c>
    </row>
    <row r="28">
      <c r="A28" s="15" t="inlineStr">
        <is>
          <t>미국 배당 현지 원천징수액</t>
        </is>
      </c>
      <c r="B28" s="19">
        <f>입력!$B$19*가정!$B$23</f>
        <v/>
      </c>
      <c r="C28" s="12" t="inlineStr">
        <is>
          <t>회수 불가. 국내 추가 과세 없음</t>
        </is>
      </c>
    </row>
    <row r="29">
      <c r="A29" s="15" t="inlineStr">
        <is>
          <t>금융소득종합과세 점검</t>
        </is>
      </c>
      <c r="B29" s="22">
        <f>IF(입력!$B$19&gt;가정!$B$24,"⚠ 금융소득 2,000만 초과 — 종합과세 대상 확인","해당 없음")</f>
        <v/>
      </c>
      <c r="C29" s="12" t="inlineStr">
        <is>
          <t>이자·배당 합산 기준. 다른 금융소득이 있으면 더해서 판단</t>
        </is>
      </c>
    </row>
    <row r="31">
      <c r="A31" s="13" t="inlineStr">
        <is>
          <t>④ 합계</t>
        </is>
      </c>
      <c r="B31" s="14" t="n"/>
      <c r="C31" s="14" t="n"/>
    </row>
    <row r="32">
      <c r="A32" s="15" t="inlineStr">
        <is>
          <t>올해 돌려받는 세금 (①환급 + ②전환환급)</t>
        </is>
      </c>
      <c r="B32" s="19">
        <f>B8+B21</f>
        <v/>
      </c>
      <c r="C32" s="12" t="inlineStr"/>
    </row>
    <row r="33">
      <c r="A33" s="15" t="inlineStr">
        <is>
          <t>아끼는 세금 (②ISA 절세)</t>
        </is>
      </c>
      <c r="B33" s="19">
        <f>B19</f>
        <v/>
      </c>
      <c r="C33" s="12" t="inlineStr"/>
    </row>
    <row r="34">
      <c r="A34" s="15" t="inlineStr">
        <is>
          <t>내야 하는 세금 (③양도세 + 배당 원천징수)</t>
        </is>
      </c>
      <c r="B34" s="19">
        <f>B26+B28</f>
        <v/>
      </c>
      <c r="C34" s="12" t="inlineStr"/>
    </row>
    <row r="35">
      <c r="A35" s="20" t="inlineStr">
        <is>
          <t>순 절세 효과</t>
        </is>
      </c>
      <c r="B35" s="21">
        <f>B32+B33-B34</f>
        <v/>
      </c>
      <c r="C35" s="12" t="inlineStr">
        <is>
          <t>환급 + 절세 − 납부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연금저축 납입액별 환급액 (IRP 납입은 「입력」값 고정)</t>
        </is>
      </c>
    </row>
    <row r="3">
      <c r="A3" s="23" t="inlineStr">
        <is>
          <t>연금저축 납입액</t>
        </is>
      </c>
      <c r="B3" s="23" t="inlineStr">
        <is>
          <t>연금저축 공제대상</t>
        </is>
      </c>
      <c r="C3" s="23" t="inlineStr">
        <is>
          <t>IRP 공제대상</t>
        </is>
      </c>
      <c r="D3" s="23" t="inlineStr">
        <is>
          <t>공제대상 합계</t>
        </is>
      </c>
      <c r="E3" s="23" t="inlineStr">
        <is>
          <t>환급액</t>
        </is>
      </c>
      <c r="F3" s="23" t="inlineStr">
        <is>
          <t>납입 대비 수익률</t>
        </is>
      </c>
    </row>
    <row r="4">
      <c r="A4" s="9" t="n">
        <v>0</v>
      </c>
      <c r="B4" s="24">
        <f>MIN(A4,가정!$B$4)</f>
        <v/>
      </c>
      <c r="C4" s="24">
        <f>MAX(0,MIN(입력!$B$10,가정!$B$5-B4))</f>
        <v/>
      </c>
      <c r="D4" s="24">
        <f>B4+C4</f>
        <v/>
      </c>
      <c r="E4" s="25">
        <f>D4*결과!$B$4</f>
        <v/>
      </c>
      <c r="F4" s="26">
        <f>IF((A4+입력!$B$10)=0,0,E4/(A4+입력!$B$10))</f>
        <v/>
      </c>
    </row>
    <row r="5">
      <c r="A5" s="9" t="n">
        <v>1000000</v>
      </c>
      <c r="B5" s="24">
        <f>MIN(A5,가정!$B$4)</f>
        <v/>
      </c>
      <c r="C5" s="24">
        <f>MAX(0,MIN(입력!$B$10,가정!$B$5-B5))</f>
        <v/>
      </c>
      <c r="D5" s="24">
        <f>B5+C5</f>
        <v/>
      </c>
      <c r="E5" s="25">
        <f>D5*결과!$B$4</f>
        <v/>
      </c>
      <c r="F5" s="26">
        <f>IF((A5+입력!$B$10)=0,0,E5/(A5+입력!$B$10))</f>
        <v/>
      </c>
    </row>
    <row r="6">
      <c r="A6" s="9" t="n">
        <v>2000000</v>
      </c>
      <c r="B6" s="24">
        <f>MIN(A6,가정!$B$4)</f>
        <v/>
      </c>
      <c r="C6" s="24">
        <f>MAX(0,MIN(입력!$B$10,가정!$B$5-B6))</f>
        <v/>
      </c>
      <c r="D6" s="24">
        <f>B6+C6</f>
        <v/>
      </c>
      <c r="E6" s="25">
        <f>D6*결과!$B$4</f>
        <v/>
      </c>
      <c r="F6" s="26">
        <f>IF((A6+입력!$B$10)=0,0,E6/(A6+입력!$B$10))</f>
        <v/>
      </c>
    </row>
    <row r="7">
      <c r="A7" s="9" t="n">
        <v>3000000</v>
      </c>
      <c r="B7" s="24">
        <f>MIN(A7,가정!$B$4)</f>
        <v/>
      </c>
      <c r="C7" s="24">
        <f>MAX(0,MIN(입력!$B$10,가정!$B$5-B7))</f>
        <v/>
      </c>
      <c r="D7" s="24">
        <f>B7+C7</f>
        <v/>
      </c>
      <c r="E7" s="25">
        <f>D7*결과!$B$4</f>
        <v/>
      </c>
      <c r="F7" s="26">
        <f>IF((A7+입력!$B$10)=0,0,E7/(A7+입력!$B$10))</f>
        <v/>
      </c>
    </row>
    <row r="8">
      <c r="A8" s="9" t="n">
        <v>4000000</v>
      </c>
      <c r="B8" s="24">
        <f>MIN(A8,가정!$B$4)</f>
        <v/>
      </c>
      <c r="C8" s="24">
        <f>MAX(0,MIN(입력!$B$10,가정!$B$5-B8))</f>
        <v/>
      </c>
      <c r="D8" s="24">
        <f>B8+C8</f>
        <v/>
      </c>
      <c r="E8" s="25">
        <f>D8*결과!$B$4</f>
        <v/>
      </c>
      <c r="F8" s="26">
        <f>IF((A8+입력!$B$10)=0,0,E8/(A8+입력!$B$10))</f>
        <v/>
      </c>
    </row>
    <row r="9">
      <c r="A9" s="9" t="n">
        <v>5000000</v>
      </c>
      <c r="B9" s="24">
        <f>MIN(A9,가정!$B$4)</f>
        <v/>
      </c>
      <c r="C9" s="24">
        <f>MAX(0,MIN(입력!$B$10,가정!$B$5-B9))</f>
        <v/>
      </c>
      <c r="D9" s="24">
        <f>B9+C9</f>
        <v/>
      </c>
      <c r="E9" s="25">
        <f>D9*결과!$B$4</f>
        <v/>
      </c>
      <c r="F9" s="26">
        <f>IF((A9+입력!$B$10)=0,0,E9/(A9+입력!$B$10))</f>
        <v/>
      </c>
    </row>
    <row r="10">
      <c r="A10" s="9" t="n">
        <v>6000000</v>
      </c>
      <c r="B10" s="24">
        <f>MIN(A10,가정!$B$4)</f>
        <v/>
      </c>
      <c r="C10" s="24">
        <f>MAX(0,MIN(입력!$B$10,가정!$B$5-B10))</f>
        <v/>
      </c>
      <c r="D10" s="24">
        <f>B10+C10</f>
        <v/>
      </c>
      <c r="E10" s="25">
        <f>D10*결과!$B$4</f>
        <v/>
      </c>
      <c r="F10" s="26">
        <f>IF((A10+입력!$B$10)=0,0,E10/(A10+입력!$B$10))</f>
        <v/>
      </c>
    </row>
    <row r="11">
      <c r="A11" s="9" t="n">
        <v>7000000</v>
      </c>
      <c r="B11" s="24">
        <f>MIN(A11,가정!$B$4)</f>
        <v/>
      </c>
      <c r="C11" s="24">
        <f>MAX(0,MIN(입력!$B$10,가정!$B$5-B11))</f>
        <v/>
      </c>
      <c r="D11" s="24">
        <f>B11+C11</f>
        <v/>
      </c>
      <c r="E11" s="25">
        <f>D11*결과!$B$4</f>
        <v/>
      </c>
      <c r="F11" s="26">
        <f>IF((A11+입력!$B$10)=0,0,E11/(A11+입력!$B$10))</f>
        <v/>
      </c>
    </row>
    <row r="12">
      <c r="A12" s="9" t="n">
        <v>8000000</v>
      </c>
      <c r="B12" s="24">
        <f>MIN(A12,가정!$B$4)</f>
        <v/>
      </c>
      <c r="C12" s="24">
        <f>MAX(0,MIN(입력!$B$10,가정!$B$5-B12))</f>
        <v/>
      </c>
      <c r="D12" s="24">
        <f>B12+C12</f>
        <v/>
      </c>
      <c r="E12" s="25">
        <f>D12*결과!$B$4</f>
        <v/>
      </c>
      <c r="F12" s="26">
        <f>IF((A12+입력!$B$10)=0,0,E12/(A12+입력!$B$10))</f>
        <v/>
      </c>
    </row>
    <row r="13">
      <c r="A13" s="9" t="n">
        <v>9000000</v>
      </c>
      <c r="B13" s="24">
        <f>MIN(A13,가정!$B$4)</f>
        <v/>
      </c>
      <c r="C13" s="24">
        <f>MAX(0,MIN(입력!$B$10,가정!$B$5-B13))</f>
        <v/>
      </c>
      <c r="D13" s="24">
        <f>B13+C13</f>
        <v/>
      </c>
      <c r="E13" s="25">
        <f>D13*결과!$B$4</f>
        <v/>
      </c>
      <c r="F13" s="26">
        <f>IF((A13+입력!$B$10)=0,0,E13/(A13+입력!$B$10))</f>
        <v/>
      </c>
    </row>
    <row r="15">
      <c r="A15" s="12" t="inlineStr">
        <is>
          <t>파란 납입액은 바꿔도 됩니다. 환급액은 「결과」의 공제율을 따릅니다. 600만원을 넘는 연금저축분은 공제되지 않으므로 초과분은 IRP로 넣는 것이 유리합니다.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2026-09-09T14:51:32Z</dcterms:created>
  <dcterms:modified xsi:type="dcterms:W3CDTF">2026-09-09T14:51:32Z</dcterms:modified>
</cp:coreProperties>
</file>